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ark Stotzer\Documents\Mark\CSC360\BinarySearchProject\"/>
    </mc:Choice>
  </mc:AlternateContent>
  <xr:revisionPtr revIDLastSave="0" documentId="13_ncr:1_{45605B1E-1E7F-4E01-8C2E-074D2BAD05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G9" i="1"/>
  <c r="G10" i="1"/>
  <c r="G7" i="1"/>
  <c r="G4" i="1"/>
  <c r="G5" i="1"/>
  <c r="G6" i="1"/>
  <c r="G3" i="1"/>
  <c r="E4" i="1"/>
  <c r="E5" i="1"/>
  <c r="E7" i="1"/>
  <c r="E8" i="1"/>
  <c r="E9" i="1"/>
  <c r="E10" i="1"/>
  <c r="E3" i="1"/>
  <c r="D10" i="1"/>
  <c r="C10" i="1"/>
  <c r="D6" i="1"/>
  <c r="E6" i="1" s="1"/>
  <c r="C6" i="1"/>
</calcChain>
</file>

<file path=xl/sharedStrings.xml><?xml version="1.0" encoding="utf-8"?>
<sst xmlns="http://schemas.openxmlformats.org/spreadsheetml/2006/main" count="18" uniqueCount="14">
  <si>
    <t>5 Stage</t>
  </si>
  <si>
    <t>Instruction Count</t>
  </si>
  <si>
    <t>CPI</t>
  </si>
  <si>
    <t>Cycles</t>
  </si>
  <si>
    <t>Single</t>
  </si>
  <si>
    <t>highNot</t>
  </si>
  <si>
    <t>lowNot</t>
  </si>
  <si>
    <t>deepYes</t>
  </si>
  <si>
    <t>Average</t>
  </si>
  <si>
    <t>Best Algorithm</t>
  </si>
  <si>
    <t>Processor</t>
  </si>
  <si>
    <t>Search Value</t>
  </si>
  <si>
    <t>Clock (MHz)</t>
  </si>
  <si>
    <t>Execution Time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</si>
</sst>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4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2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2" fontId="0" fillId="0" borderId="10" xfId="0" applyNumberFormat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2" fontId="0" fillId="0" borderId="23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H14" sqref="H14"/>
    </sheetView>
  </sheetViews>
  <sheetFormatPr defaultRowHeight="14.4" x14ac:dyDescent="0.3"/>
  <cols>
    <col min="1" max="1" width="9.109375" bestFit="1" customWidth="1"/>
    <col min="2" max="2" width="11.88671875" bestFit="1" customWidth="1"/>
    <col min="3" max="5" width="16.44140625" customWidth="1"/>
    <col min="6" max="6" width="11.109375" bestFit="1" customWidth="1"/>
    <col min="7" max="7" width="18.21875" bestFit="1" customWidth="1"/>
  </cols>
  <sheetData>
    <row r="1" spans="1:7" ht="15" thickBot="1" x14ac:dyDescent="0.35">
      <c r="A1" s="23" t="s">
        <v>9</v>
      </c>
      <c r="B1" s="24"/>
      <c r="C1" s="24"/>
      <c r="D1" s="24"/>
      <c r="E1" s="24"/>
      <c r="F1" s="24"/>
      <c r="G1" s="25"/>
    </row>
    <row r="2" spans="1:7" ht="15" thickBot="1" x14ac:dyDescent="0.35">
      <c r="A2" s="19" t="s">
        <v>10</v>
      </c>
      <c r="B2" s="20" t="s">
        <v>11</v>
      </c>
      <c r="C2" s="21" t="s">
        <v>1</v>
      </c>
      <c r="D2" s="21" t="s">
        <v>3</v>
      </c>
      <c r="E2" s="21" t="s">
        <v>2</v>
      </c>
      <c r="F2" s="26" t="s">
        <v>12</v>
      </c>
      <c r="G2" s="22" t="s">
        <v>13</v>
      </c>
    </row>
    <row r="3" spans="1:7" x14ac:dyDescent="0.3">
      <c r="A3" s="13" t="s">
        <v>4</v>
      </c>
      <c r="B3" s="9" t="s">
        <v>5</v>
      </c>
      <c r="C3" s="7">
        <v>54</v>
      </c>
      <c r="D3" s="7">
        <v>54</v>
      </c>
      <c r="E3" s="8">
        <f>D3/C3</f>
        <v>1</v>
      </c>
      <c r="F3" s="27">
        <v>30</v>
      </c>
      <c r="G3" s="18">
        <f>C3*E3/$F$3</f>
        <v>1.8</v>
      </c>
    </row>
    <row r="4" spans="1:7" x14ac:dyDescent="0.3">
      <c r="A4" s="14"/>
      <c r="B4" s="10" t="s">
        <v>6</v>
      </c>
      <c r="C4" s="1">
        <v>44</v>
      </c>
      <c r="D4" s="1">
        <v>44</v>
      </c>
      <c r="E4" s="2">
        <f t="shared" ref="E4:E10" si="0">D4/C4</f>
        <v>1</v>
      </c>
      <c r="F4" s="28"/>
      <c r="G4" s="15">
        <f t="shared" ref="G4:G6" si="1">C4*E4/$F$3</f>
        <v>1.4666666666666666</v>
      </c>
    </row>
    <row r="5" spans="1:7" x14ac:dyDescent="0.3">
      <c r="A5" s="14"/>
      <c r="B5" s="10" t="s">
        <v>7</v>
      </c>
      <c r="C5" s="1">
        <v>50</v>
      </c>
      <c r="D5" s="1">
        <v>50</v>
      </c>
      <c r="E5" s="2">
        <f t="shared" si="0"/>
        <v>1</v>
      </c>
      <c r="F5" s="28"/>
      <c r="G5" s="15">
        <f t="shared" si="1"/>
        <v>1.6666666666666667</v>
      </c>
    </row>
    <row r="6" spans="1:7" ht="15" thickBot="1" x14ac:dyDescent="0.35">
      <c r="A6" s="16"/>
      <c r="B6" s="11" t="s">
        <v>8</v>
      </c>
      <c r="C6" s="5">
        <f>AVERAGE(C3:C5)</f>
        <v>49.333333333333336</v>
      </c>
      <c r="D6" s="5">
        <f>AVERAGE(D3:D5)</f>
        <v>49.333333333333336</v>
      </c>
      <c r="E6" s="6">
        <f t="shared" si="0"/>
        <v>1</v>
      </c>
      <c r="F6" s="29"/>
      <c r="G6" s="17">
        <f t="shared" si="1"/>
        <v>1.6444444444444446</v>
      </c>
    </row>
    <row r="7" spans="1:7" x14ac:dyDescent="0.3">
      <c r="A7" s="13" t="s">
        <v>0</v>
      </c>
      <c r="B7" s="12" t="s">
        <v>5</v>
      </c>
      <c r="C7" s="3">
        <v>54</v>
      </c>
      <c r="D7" s="3">
        <v>78</v>
      </c>
      <c r="E7" s="4">
        <f t="shared" si="0"/>
        <v>1.4444444444444444</v>
      </c>
      <c r="F7" s="27">
        <v>115</v>
      </c>
      <c r="G7" s="18">
        <f>C7*E7/$F$7</f>
        <v>0.67826086956521736</v>
      </c>
    </row>
    <row r="8" spans="1:7" x14ac:dyDescent="0.3">
      <c r="A8" s="14"/>
      <c r="B8" s="10" t="s">
        <v>6</v>
      </c>
      <c r="C8" s="1">
        <v>44</v>
      </c>
      <c r="D8" s="1">
        <v>71</v>
      </c>
      <c r="E8" s="2">
        <f t="shared" si="0"/>
        <v>1.6136363636363635</v>
      </c>
      <c r="F8" s="28"/>
      <c r="G8" s="15">
        <f t="shared" ref="G8:G10" si="2">C8*E8/$F$7</f>
        <v>0.61739130434782608</v>
      </c>
    </row>
    <row r="9" spans="1:7" x14ac:dyDescent="0.3">
      <c r="A9" s="14"/>
      <c r="B9" s="10" t="s">
        <v>7</v>
      </c>
      <c r="C9" s="1">
        <v>50</v>
      </c>
      <c r="D9" s="1">
        <v>74</v>
      </c>
      <c r="E9" s="2">
        <f t="shared" si="0"/>
        <v>1.48</v>
      </c>
      <c r="F9" s="28"/>
      <c r="G9" s="15">
        <f t="shared" si="2"/>
        <v>0.64347826086956517</v>
      </c>
    </row>
    <row r="10" spans="1:7" ht="15" thickBot="1" x14ac:dyDescent="0.35">
      <c r="A10" s="16"/>
      <c r="B10" s="11" t="s">
        <v>8</v>
      </c>
      <c r="C10" s="5">
        <f>AVERAGE(C7:C9)</f>
        <v>49.333333333333336</v>
      </c>
      <c r="D10" s="5">
        <f>AVERAGE(D7:D9)</f>
        <v>74.333333333333329</v>
      </c>
      <c r="E10" s="6">
        <f t="shared" si="0"/>
        <v>1.5067567567567566</v>
      </c>
      <c r="F10" s="29"/>
      <c r="G10" s="17">
        <f t="shared" si="2"/>
        <v>0.6463768115942029</v>
      </c>
    </row>
  </sheetData>
  <mergeCells count="5">
    <mergeCell ref="A3:A6"/>
    <mergeCell ref="A7:A10"/>
    <mergeCell ref="A1:G1"/>
    <mergeCell ref="F7:F10"/>
    <mergeCell ref="F3:F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Stotzer</dc:creator>
  <cp:lastModifiedBy>Mark P. Stotzer</cp:lastModifiedBy>
  <dcterms:created xsi:type="dcterms:W3CDTF">2015-06-05T18:17:20Z</dcterms:created>
  <dcterms:modified xsi:type="dcterms:W3CDTF">2026-03-17T18:38:22Z</dcterms:modified>
</cp:coreProperties>
</file>