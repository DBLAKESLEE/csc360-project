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k Stotzer\Documents\Mark\CSC360\csc360-project\binary-search\PerformanceData\"/>
    </mc:Choice>
  </mc:AlternateContent>
  <xr:revisionPtr revIDLastSave="0" documentId="13_ncr:1_{A1746642-1E8F-47EB-83A2-0195FECD88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L8" i="1"/>
  <c r="L7" i="1"/>
  <c r="K8" i="1"/>
  <c r="K7" i="1"/>
  <c r="G30" i="1"/>
  <c r="G31" i="1"/>
  <c r="G32" i="1"/>
  <c r="G29" i="1"/>
  <c r="G26" i="1"/>
  <c r="G27" i="1"/>
  <c r="G28" i="1"/>
  <c r="G25" i="1"/>
  <c r="G19" i="1"/>
  <c r="G20" i="1"/>
  <c r="G21" i="1"/>
  <c r="G18" i="1"/>
  <c r="G15" i="1"/>
  <c r="G16" i="1"/>
  <c r="G17" i="1"/>
  <c r="G14" i="1"/>
  <c r="G8" i="1"/>
  <c r="G9" i="1"/>
  <c r="G10" i="1"/>
  <c r="G7" i="1"/>
  <c r="G4" i="1"/>
  <c r="G5" i="1"/>
  <c r="G6" i="1"/>
  <c r="G3" i="1"/>
  <c r="M4" i="1"/>
  <c r="M3" i="1"/>
  <c r="L4" i="1"/>
  <c r="L3" i="1"/>
  <c r="K4" i="1"/>
  <c r="K3" i="1"/>
  <c r="E25" i="1"/>
  <c r="E26" i="1"/>
  <c r="E27" i="1"/>
  <c r="C28" i="1"/>
  <c r="D28" i="1"/>
  <c r="E29" i="1"/>
  <c r="E30" i="1"/>
  <c r="E31" i="1"/>
  <c r="C32" i="1"/>
  <c r="D32" i="1"/>
  <c r="E14" i="1"/>
  <c r="E15" i="1"/>
  <c r="E16" i="1"/>
  <c r="C17" i="1"/>
  <c r="D17" i="1"/>
  <c r="E18" i="1"/>
  <c r="E19" i="1"/>
  <c r="E20" i="1"/>
  <c r="C21" i="1"/>
  <c r="D21" i="1"/>
  <c r="E4" i="1"/>
  <c r="E5" i="1"/>
  <c r="E7" i="1"/>
  <c r="E8" i="1"/>
  <c r="E9" i="1"/>
  <c r="E3" i="1"/>
  <c r="D10" i="1"/>
  <c r="C10" i="1"/>
  <c r="D6" i="1"/>
  <c r="C6" i="1"/>
  <c r="E32" i="1" l="1"/>
  <c r="E17" i="1"/>
  <c r="E21" i="1"/>
  <c r="E28" i="1"/>
  <c r="E6" i="1"/>
  <c r="E10" i="1"/>
</calcChain>
</file>

<file path=xl/sharedStrings.xml><?xml version="1.0" encoding="utf-8"?>
<sst xmlns="http://schemas.openxmlformats.org/spreadsheetml/2006/main" count="66" uniqueCount="22">
  <si>
    <t>5 Stage</t>
  </si>
  <si>
    <t>Instruction Count</t>
  </si>
  <si>
    <t>CPI</t>
  </si>
  <si>
    <t>Cycles</t>
  </si>
  <si>
    <t>Single</t>
  </si>
  <si>
    <t>highNot</t>
  </si>
  <si>
    <t>lowNot</t>
  </si>
  <si>
    <t>deepYes</t>
  </si>
  <si>
    <t>Average</t>
  </si>
  <si>
    <t>Processor</t>
  </si>
  <si>
    <t>Search Value</t>
  </si>
  <si>
    <t>Clock (MHz)</t>
  </si>
  <si>
    <t>Execution Time (ms)</t>
  </si>
  <si>
    <t>Naive Algorithm</t>
  </si>
  <si>
    <t>Compiler Algorithm</t>
  </si>
  <si>
    <t>Handwritten Algorithm</t>
  </si>
  <si>
    <t>Single-Stage</t>
  </si>
  <si>
    <t>5-Stage</t>
  </si>
  <si>
    <t>Handwritten</t>
  </si>
  <si>
    <t>Naïve</t>
  </si>
  <si>
    <t>Compiler</t>
  </si>
  <si>
    <t>Clock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</si>
</sst>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/>
    <xf numFmtId="0" fontId="1" fillId="0" borderId="3" xfId="0" applyFont="1" applyBorder="1"/>
    <xf numFmtId="2" fontId="0" fillId="0" borderId="3" xfId="0" applyNumberForma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Clock Cycles by</a:t>
            </a:r>
            <a:r>
              <a:rPr lang="en-US" baseline="0"/>
              <a:t> Algorithm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Naïve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Data!$J$3:$J$4</c:f>
              <c:strCache>
                <c:ptCount val="2"/>
                <c:pt idx="0">
                  <c:v>Single-Stage</c:v>
                </c:pt>
                <c:pt idx="1">
                  <c:v>5-Stage</c:v>
                </c:pt>
              </c:strCache>
            </c:strRef>
          </c:cat>
          <c:val>
            <c:numRef>
              <c:f>Data!$K$3:$K$4</c:f>
              <c:numCache>
                <c:formatCode>0.00</c:formatCode>
                <c:ptCount val="2"/>
                <c:pt idx="0">
                  <c:v>49.333333333333336</c:v>
                </c:pt>
                <c:pt idx="1">
                  <c:v>80.333333333333329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F-4D12-A370-66D3ABB6CB9B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Handwritten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Data!$J$3:$J$4</c:f>
              <c:strCache>
                <c:ptCount val="2"/>
                <c:pt idx="0">
                  <c:v>Single-Stage</c:v>
                </c:pt>
                <c:pt idx="1">
                  <c:v>5-Stage</c:v>
                </c:pt>
              </c:strCache>
            </c:strRef>
          </c:cat>
          <c:val>
            <c:numRef>
              <c:f>Data!$L$3:$L$4</c:f>
              <c:numCache>
                <c:formatCode>0.00</c:formatCode>
                <c:ptCount val="2"/>
                <c:pt idx="0">
                  <c:v>49.333333333333336</c:v>
                </c:pt>
                <c:pt idx="1">
                  <c:v>74.333333333333329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F-4D12-A370-66D3ABB6CB9B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Compiler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Data!$J$3:$J$4</c:f>
              <c:strCache>
                <c:ptCount val="2"/>
                <c:pt idx="0">
                  <c:v>Single-Stage</c:v>
                </c:pt>
                <c:pt idx="1">
                  <c:v>5-Stage</c:v>
                </c:pt>
              </c:strCache>
            </c:strRef>
          </c:cat>
          <c:val>
            <c:numRef>
              <c:f>Data!$M$3:$M$4</c:f>
              <c:numCache>
                <c:formatCode>0.00</c:formatCode>
                <c:ptCount val="2"/>
                <c:pt idx="0">
                  <c:v>51.666666666666664</c:v>
                </c:pt>
                <c:pt idx="1">
                  <c:v>76.666666666666671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4F-4D12-A370-66D3ABB6C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868752"/>
        <c:axId val="24895152"/>
      </c:barChart>
      <c:catAx>
        <c:axId val="2486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5152"/>
        <c:crosses val="autoZero"/>
        <c:auto val="1"/>
        <c:lblAlgn val="ctr"/>
        <c:lblOffset val="100"/>
        <c:noMultiLvlLbl val="0"/>
      </c:catAx>
      <c:valAx>
        <c:axId val="24895152"/>
        <c:scaling>
          <c:orientation val="minMax"/>
          <c:min val="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Clock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by Algorithm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Data!$K$6</c:f>
              <c:strCache>
                <c:ptCount val="1"/>
                <c:pt idx="0">
                  <c:v>Naïve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Data!$J$7:$J$8</c:f>
              <c:strCache>
                <c:ptCount val="2"/>
                <c:pt idx="0">
                  <c:v>Single-Stage</c:v>
                </c:pt>
                <c:pt idx="1">
                  <c:v>5-Stage</c:v>
                </c:pt>
              </c:strCache>
            </c:strRef>
          </c:cat>
          <c:val>
            <c:numRef>
              <c:f>Data!$K$7:$K$8</c:f>
              <c:numCache>
                <c:formatCode>0.00</c:formatCode>
                <c:ptCount val="2"/>
                <c:pt idx="0">
                  <c:v>1.6444444444444446</c:v>
                </c:pt>
                <c:pt idx="1">
                  <c:v>0.69855072463768109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4-4039-A829-6EAC86AA1D8C}"/>
            </c:ext>
          </c:extLst>
        </c:ser>
        <c:ser>
          <c:idx val="1"/>
          <c:order val="1"/>
          <c:tx>
            <c:strRef>
              <c:f>Data!$L$6</c:f>
              <c:strCache>
                <c:ptCount val="1"/>
                <c:pt idx="0">
                  <c:v>Handwritten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Data!$J$7:$J$8</c:f>
              <c:strCache>
                <c:ptCount val="2"/>
                <c:pt idx="0">
                  <c:v>Single-Stage</c:v>
                </c:pt>
                <c:pt idx="1">
                  <c:v>5-Stage</c:v>
                </c:pt>
              </c:strCache>
            </c:strRef>
          </c:cat>
          <c:val>
            <c:numRef>
              <c:f>Data!$L$7:$L$8</c:f>
              <c:numCache>
                <c:formatCode>0.00</c:formatCode>
                <c:ptCount val="2"/>
                <c:pt idx="0">
                  <c:v>1.6444444444444446</c:v>
                </c:pt>
                <c:pt idx="1">
                  <c:v>0.6463768115942029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4-4039-A829-6EAC86AA1D8C}"/>
            </c:ext>
          </c:extLst>
        </c:ser>
        <c:ser>
          <c:idx val="2"/>
          <c:order val="2"/>
          <c:tx>
            <c:strRef>
              <c:f>Data!$M$6</c:f>
              <c:strCache>
                <c:ptCount val="1"/>
                <c:pt idx="0">
                  <c:v>Compiler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Data!$J$7:$J$8</c:f>
              <c:strCache>
                <c:ptCount val="2"/>
                <c:pt idx="0">
                  <c:v>Single-Stage</c:v>
                </c:pt>
                <c:pt idx="1">
                  <c:v>5-Stage</c:v>
                </c:pt>
              </c:strCache>
            </c:strRef>
          </c:cat>
          <c:val>
            <c:numRef>
              <c:f>Data!$M$7:$M$8</c:f>
              <c:numCache>
                <c:formatCode>0.00</c:formatCode>
                <c:ptCount val="2"/>
                <c:pt idx="0">
                  <c:v>1.7222222222222221</c:v>
                </c:pt>
                <c:pt idx="1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4-4039-A829-6EAC86AA1D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686191"/>
        <c:axId val="1654688591"/>
      </c:barChart>
      <c:catAx>
        <c:axId val="165468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88591"/>
        <c:crosses val="autoZero"/>
        <c:auto val="1"/>
        <c:lblAlgn val="ctr"/>
        <c:lblOffset val="100"/>
        <c:noMultiLvlLbl val="0"/>
      </c:catAx>
      <c:valAx>
        <c:axId val="1654688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</a:t>
                </a:r>
                <a:r>
                  <a:rPr lang="en-US" baseline="0"/>
                  <a:t>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8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541020</xdr:colOff>
      <xdr:row>0</xdr:row>
      <xdr:rowOff>125730</xdr:rowOff>
    </xdr:from>
    <xdr:to>
      <xdr:col>23</xdr:col>
      <xdr:colOff>60960</xdr:colOff>
      <xdr:row>15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45A533-6B84-36EB-29A6-050061113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274320</xdr:colOff>
      <xdr:row>10</xdr:row>
      <xdr:rowOff>64770</xdr:rowOff>
    </xdr:from>
    <xdr:to>
      <xdr:col>14</xdr:col>
      <xdr:colOff>144780</xdr:colOff>
      <xdr:row>25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BF902B-7E7A-5FF5-86E7-EA0005799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D1" workbookViewId="0">
      <selection activeCell="Q17" sqref="Q17"/>
    </sheetView>
  </sheetViews>
  <sheetFormatPr defaultRowHeight="14.4" x14ac:dyDescent="0.3"/>
  <cols>
    <col min="1" max="1" width="9.109375" bestFit="1" customWidth="1"/>
    <col min="2" max="2" width="11.88671875" bestFit="1" customWidth="1"/>
    <col min="3" max="5" width="16.44140625" customWidth="1"/>
    <col min="6" max="6" width="11.109375" bestFit="1" customWidth="1"/>
    <col min="7" max="7" width="18.21875" bestFit="1" customWidth="1"/>
    <col min="10" max="10" width="10.77734375" bestFit="1" customWidth="1"/>
    <col min="11" max="11" width="9.5546875" customWidth="1"/>
    <col min="12" max="12" width="11.109375" bestFit="1" customWidth="1"/>
    <col min="13" max="13" width="10.44140625" customWidth="1"/>
  </cols>
  <sheetData>
    <row r="1" spans="1:13" ht="15" thickBot="1" x14ac:dyDescent="0.35">
      <c r="A1" s="25" t="s">
        <v>15</v>
      </c>
      <c r="B1" s="26"/>
      <c r="C1" s="26"/>
      <c r="D1" s="26"/>
      <c r="E1" s="26"/>
      <c r="F1" s="26"/>
      <c r="G1" s="27"/>
      <c r="J1" s="23" t="s">
        <v>21</v>
      </c>
      <c r="K1" s="23"/>
      <c r="L1" s="23"/>
      <c r="M1" s="23"/>
    </row>
    <row r="2" spans="1:13" ht="15" thickBot="1" x14ac:dyDescent="0.35">
      <c r="A2" s="14" t="s">
        <v>9</v>
      </c>
      <c r="B2" s="15" t="s">
        <v>10</v>
      </c>
      <c r="C2" s="16" t="s">
        <v>3</v>
      </c>
      <c r="D2" s="16" t="s">
        <v>1</v>
      </c>
      <c r="E2" s="16" t="s">
        <v>2</v>
      </c>
      <c r="F2" s="18" t="s">
        <v>11</v>
      </c>
      <c r="G2" s="17" t="s">
        <v>12</v>
      </c>
      <c r="J2" s="20"/>
      <c r="K2" s="20" t="s">
        <v>19</v>
      </c>
      <c r="L2" s="20" t="s">
        <v>18</v>
      </c>
      <c r="M2" s="20" t="s">
        <v>20</v>
      </c>
    </row>
    <row r="3" spans="1:13" x14ac:dyDescent="0.3">
      <c r="A3" s="34" t="s">
        <v>4</v>
      </c>
      <c r="B3" s="9" t="s">
        <v>5</v>
      </c>
      <c r="C3" s="7">
        <v>54</v>
      </c>
      <c r="D3" s="7">
        <v>54</v>
      </c>
      <c r="E3" s="8">
        <f>D3/C3</f>
        <v>1</v>
      </c>
      <c r="F3" s="31">
        <v>30</v>
      </c>
      <c r="G3" s="13">
        <f>C3/$F$3</f>
        <v>1.8</v>
      </c>
      <c r="J3" s="20" t="s">
        <v>16</v>
      </c>
      <c r="K3" s="19">
        <f>C17</f>
        <v>49.333333333333336</v>
      </c>
      <c r="L3" s="19">
        <f>C6</f>
        <v>49.333333333333336</v>
      </c>
      <c r="M3" s="19">
        <f>C28</f>
        <v>51.666666666666664</v>
      </c>
    </row>
    <row r="4" spans="1:13" ht="15" thickBot="1" x14ac:dyDescent="0.35">
      <c r="A4" s="35"/>
      <c r="B4" s="10" t="s">
        <v>6</v>
      </c>
      <c r="C4" s="1">
        <v>44</v>
      </c>
      <c r="D4" s="1">
        <v>44</v>
      </c>
      <c r="E4" s="2">
        <f t="shared" ref="E4:E5" si="0">D4/C4</f>
        <v>1</v>
      </c>
      <c r="F4" s="32"/>
      <c r="G4" s="13">
        <f t="shared" ref="G4:G6" si="1">C4/$F$3</f>
        <v>1.4666666666666666</v>
      </c>
      <c r="J4" s="21" t="s">
        <v>17</v>
      </c>
      <c r="K4" s="22">
        <f>C21</f>
        <v>80.333333333333329</v>
      </c>
      <c r="L4" s="22">
        <f>C10</f>
        <v>74.333333333333329</v>
      </c>
      <c r="M4" s="22">
        <f>C32</f>
        <v>76.666666666666671</v>
      </c>
    </row>
    <row r="5" spans="1:13" x14ac:dyDescent="0.3">
      <c r="A5" s="35"/>
      <c r="B5" s="10" t="s">
        <v>7</v>
      </c>
      <c r="C5" s="1">
        <v>50</v>
      </c>
      <c r="D5" s="1">
        <v>50</v>
      </c>
      <c r="E5" s="2">
        <f t="shared" si="0"/>
        <v>1</v>
      </c>
      <c r="F5" s="32"/>
      <c r="G5" s="13">
        <f t="shared" si="1"/>
        <v>1.6666666666666667</v>
      </c>
      <c r="J5" s="24" t="s">
        <v>12</v>
      </c>
      <c r="K5" s="24"/>
      <c r="L5" s="24"/>
      <c r="M5" s="24"/>
    </row>
    <row r="6" spans="1:13" ht="15" thickBot="1" x14ac:dyDescent="0.35">
      <c r="A6" s="36"/>
      <c r="B6" s="11" t="s">
        <v>8</v>
      </c>
      <c r="C6" s="5">
        <f>AVERAGE(C3:C5)</f>
        <v>49.333333333333336</v>
      </c>
      <c r="D6" s="5">
        <f>AVERAGE(D3:D5)</f>
        <v>49.333333333333336</v>
      </c>
      <c r="E6" s="6">
        <f>D6/C6</f>
        <v>1</v>
      </c>
      <c r="F6" s="33"/>
      <c r="G6" s="13">
        <f t="shared" si="1"/>
        <v>1.6444444444444446</v>
      </c>
      <c r="J6" s="20"/>
      <c r="K6" s="20" t="s">
        <v>19</v>
      </c>
      <c r="L6" s="20" t="s">
        <v>18</v>
      </c>
      <c r="M6" s="20" t="s">
        <v>20</v>
      </c>
    </row>
    <row r="7" spans="1:13" x14ac:dyDescent="0.3">
      <c r="A7" s="34" t="s">
        <v>0</v>
      </c>
      <c r="B7" s="12" t="s">
        <v>5</v>
      </c>
      <c r="C7" s="3">
        <v>78</v>
      </c>
      <c r="D7" s="3">
        <v>54</v>
      </c>
      <c r="E7" s="4">
        <f>D7/C7</f>
        <v>0.69230769230769229</v>
      </c>
      <c r="F7" s="31">
        <v>115</v>
      </c>
      <c r="G7" s="13">
        <f>C7/$F$7</f>
        <v>0.67826086956521736</v>
      </c>
      <c r="J7" s="20" t="s">
        <v>16</v>
      </c>
      <c r="K7" s="19">
        <f>G17</f>
        <v>1.6444444444444446</v>
      </c>
      <c r="L7" s="19">
        <f>G6</f>
        <v>1.6444444444444446</v>
      </c>
      <c r="M7" s="19">
        <f>G28</f>
        <v>1.7222222222222221</v>
      </c>
    </row>
    <row r="8" spans="1:13" x14ac:dyDescent="0.3">
      <c r="A8" s="35"/>
      <c r="B8" s="10" t="s">
        <v>6</v>
      </c>
      <c r="C8" s="1">
        <v>71</v>
      </c>
      <c r="D8" s="1">
        <v>44</v>
      </c>
      <c r="E8" s="2">
        <f>D8/C8</f>
        <v>0.61971830985915488</v>
      </c>
      <c r="F8" s="32"/>
      <c r="G8" s="13">
        <f t="shared" ref="G8:G10" si="2">C8/$F$7</f>
        <v>0.61739130434782608</v>
      </c>
      <c r="J8" s="20" t="s">
        <v>17</v>
      </c>
      <c r="K8" s="19">
        <f>G21</f>
        <v>0.69855072463768109</v>
      </c>
      <c r="L8" s="19">
        <f>G10</f>
        <v>0.6463768115942029</v>
      </c>
      <c r="M8" s="19">
        <f>G32</f>
        <v>0.66666666666666674</v>
      </c>
    </row>
    <row r="9" spans="1:13" x14ac:dyDescent="0.3">
      <c r="A9" s="35"/>
      <c r="B9" s="10" t="s">
        <v>7</v>
      </c>
      <c r="C9" s="1">
        <v>74</v>
      </c>
      <c r="D9" s="1">
        <v>50</v>
      </c>
      <c r="E9" s="2">
        <f>D9/C9</f>
        <v>0.67567567567567566</v>
      </c>
      <c r="F9" s="32"/>
      <c r="G9" s="13">
        <f t="shared" si="2"/>
        <v>0.64347826086956517</v>
      </c>
    </row>
    <row r="10" spans="1:13" ht="15" thickBot="1" x14ac:dyDescent="0.35">
      <c r="A10" s="36"/>
      <c r="B10" s="11" t="s">
        <v>8</v>
      </c>
      <c r="C10" s="5">
        <f>AVERAGE(C7:C9)</f>
        <v>74.333333333333329</v>
      </c>
      <c r="D10" s="5">
        <f>AVERAGE(D7:D9)</f>
        <v>49.333333333333336</v>
      </c>
      <c r="E10" s="6">
        <f>D10/C10</f>
        <v>0.66367713004484308</v>
      </c>
      <c r="F10" s="33"/>
      <c r="G10" s="13">
        <f t="shared" si="2"/>
        <v>0.6463768115942029</v>
      </c>
    </row>
    <row r="11" spans="1:13" ht="15" thickBot="1" x14ac:dyDescent="0.35"/>
    <row r="12" spans="1:13" ht="15" thickBot="1" x14ac:dyDescent="0.35">
      <c r="A12" s="25" t="s">
        <v>13</v>
      </c>
      <c r="B12" s="26"/>
      <c r="C12" s="26"/>
      <c r="D12" s="26"/>
      <c r="E12" s="26"/>
      <c r="F12" s="26"/>
      <c r="G12" s="27"/>
    </row>
    <row r="13" spans="1:13" ht="15" thickBot="1" x14ac:dyDescent="0.35">
      <c r="A13" s="14" t="s">
        <v>9</v>
      </c>
      <c r="B13" s="15" t="s">
        <v>10</v>
      </c>
      <c r="C13" s="16" t="s">
        <v>3</v>
      </c>
      <c r="D13" s="16" t="s">
        <v>1</v>
      </c>
      <c r="E13" s="16" t="s">
        <v>2</v>
      </c>
      <c r="F13" s="18" t="s">
        <v>11</v>
      </c>
      <c r="G13" s="17" t="s">
        <v>12</v>
      </c>
    </row>
    <row r="14" spans="1:13" x14ac:dyDescent="0.3">
      <c r="A14" s="28" t="s">
        <v>4</v>
      </c>
      <c r="B14" s="9" t="s">
        <v>5</v>
      </c>
      <c r="C14" s="7">
        <v>54</v>
      </c>
      <c r="D14" s="7">
        <v>54</v>
      </c>
      <c r="E14" s="8">
        <f t="shared" ref="E14:E21" si="3">D14/C14</f>
        <v>1</v>
      </c>
      <c r="F14" s="31">
        <v>30</v>
      </c>
      <c r="G14" s="13">
        <f>C14/$F$14</f>
        <v>1.8</v>
      </c>
    </row>
    <row r="15" spans="1:13" x14ac:dyDescent="0.3">
      <c r="A15" s="29"/>
      <c r="B15" s="10" t="s">
        <v>6</v>
      </c>
      <c r="C15" s="1">
        <v>44</v>
      </c>
      <c r="D15" s="1">
        <v>44</v>
      </c>
      <c r="E15" s="2">
        <f t="shared" si="3"/>
        <v>1</v>
      </c>
      <c r="F15" s="32"/>
      <c r="G15" s="13">
        <f t="shared" ref="G15:G17" si="4">C15/$F$14</f>
        <v>1.4666666666666666</v>
      </c>
    </row>
    <row r="16" spans="1:13" x14ac:dyDescent="0.3">
      <c r="A16" s="29"/>
      <c r="B16" s="10" t="s">
        <v>7</v>
      </c>
      <c r="C16" s="1">
        <v>50</v>
      </c>
      <c r="D16" s="1">
        <v>50</v>
      </c>
      <c r="E16" s="2">
        <f t="shared" si="3"/>
        <v>1</v>
      </c>
      <c r="F16" s="32"/>
      <c r="G16" s="13">
        <f t="shared" si="4"/>
        <v>1.6666666666666667</v>
      </c>
    </row>
    <row r="17" spans="1:7" ht="15" thickBot="1" x14ac:dyDescent="0.35">
      <c r="A17" s="30"/>
      <c r="B17" s="11" t="s">
        <v>8</v>
      </c>
      <c r="C17" s="5">
        <f>AVERAGE(C14:C16)</f>
        <v>49.333333333333336</v>
      </c>
      <c r="D17" s="5">
        <f>AVERAGE(D14:D16)</f>
        <v>49.333333333333336</v>
      </c>
      <c r="E17" s="6">
        <f t="shared" si="3"/>
        <v>1</v>
      </c>
      <c r="F17" s="33"/>
      <c r="G17" s="13">
        <f t="shared" si="4"/>
        <v>1.6444444444444446</v>
      </c>
    </row>
    <row r="18" spans="1:7" x14ac:dyDescent="0.3">
      <c r="A18" s="28" t="s">
        <v>0</v>
      </c>
      <c r="B18" s="12" t="s">
        <v>5</v>
      </c>
      <c r="C18" s="3">
        <v>86</v>
      </c>
      <c r="D18" s="3">
        <v>54</v>
      </c>
      <c r="E18" s="4">
        <f t="shared" si="3"/>
        <v>0.62790697674418605</v>
      </c>
      <c r="F18" s="31">
        <v>115</v>
      </c>
      <c r="G18" s="13">
        <f>C18/$F$18</f>
        <v>0.74782608695652175</v>
      </c>
    </row>
    <row r="19" spans="1:7" x14ac:dyDescent="0.3">
      <c r="A19" s="29"/>
      <c r="B19" s="10" t="s">
        <v>6</v>
      </c>
      <c r="C19" s="1">
        <v>77</v>
      </c>
      <c r="D19" s="1">
        <v>44</v>
      </c>
      <c r="E19" s="2">
        <f t="shared" si="3"/>
        <v>0.5714285714285714</v>
      </c>
      <c r="F19" s="32"/>
      <c r="G19" s="13">
        <f t="shared" ref="G19:G21" si="5">C19/$F$18</f>
        <v>0.66956521739130437</v>
      </c>
    </row>
    <row r="20" spans="1:7" x14ac:dyDescent="0.3">
      <c r="A20" s="29"/>
      <c r="B20" s="10" t="s">
        <v>7</v>
      </c>
      <c r="C20" s="1">
        <v>78</v>
      </c>
      <c r="D20" s="1">
        <v>50</v>
      </c>
      <c r="E20" s="2">
        <f t="shared" si="3"/>
        <v>0.64102564102564108</v>
      </c>
      <c r="F20" s="32"/>
      <c r="G20" s="13">
        <f t="shared" si="5"/>
        <v>0.67826086956521736</v>
      </c>
    </row>
    <row r="21" spans="1:7" ht="15" thickBot="1" x14ac:dyDescent="0.35">
      <c r="A21" s="30"/>
      <c r="B21" s="11" t="s">
        <v>8</v>
      </c>
      <c r="C21" s="5">
        <f>AVERAGE(C18:C20)</f>
        <v>80.333333333333329</v>
      </c>
      <c r="D21" s="5">
        <f>AVERAGE(D18:D20)</f>
        <v>49.333333333333336</v>
      </c>
      <c r="E21" s="6">
        <f t="shared" si="3"/>
        <v>0.61410788381742742</v>
      </c>
      <c r="F21" s="33"/>
      <c r="G21" s="13">
        <f t="shared" si="5"/>
        <v>0.69855072463768109</v>
      </c>
    </row>
    <row r="22" spans="1:7" ht="15" thickBot="1" x14ac:dyDescent="0.35"/>
    <row r="23" spans="1:7" ht="15" thickBot="1" x14ac:dyDescent="0.35">
      <c r="A23" s="25" t="s">
        <v>14</v>
      </c>
      <c r="B23" s="26"/>
      <c r="C23" s="26"/>
      <c r="D23" s="26"/>
      <c r="E23" s="26"/>
      <c r="F23" s="26"/>
      <c r="G23" s="27"/>
    </row>
    <row r="24" spans="1:7" ht="15" thickBot="1" x14ac:dyDescent="0.35">
      <c r="A24" s="14" t="s">
        <v>9</v>
      </c>
      <c r="B24" s="15" t="s">
        <v>10</v>
      </c>
      <c r="C24" s="16" t="s">
        <v>3</v>
      </c>
      <c r="D24" s="16" t="s">
        <v>1</v>
      </c>
      <c r="E24" s="16" t="s">
        <v>2</v>
      </c>
      <c r="F24" s="18" t="s">
        <v>11</v>
      </c>
      <c r="G24" s="17" t="s">
        <v>12</v>
      </c>
    </row>
    <row r="25" spans="1:7" x14ac:dyDescent="0.3">
      <c r="A25" s="28" t="s">
        <v>4</v>
      </c>
      <c r="B25" s="9" t="s">
        <v>5</v>
      </c>
      <c r="C25" s="7">
        <v>56</v>
      </c>
      <c r="D25" s="7">
        <v>56</v>
      </c>
      <c r="E25" s="8">
        <f t="shared" ref="E25:E32" si="6">D25/C25</f>
        <v>1</v>
      </c>
      <c r="F25" s="31">
        <v>30</v>
      </c>
      <c r="G25" s="13">
        <f>C25/$F$25</f>
        <v>1.8666666666666667</v>
      </c>
    </row>
    <row r="26" spans="1:7" x14ac:dyDescent="0.3">
      <c r="A26" s="29"/>
      <c r="B26" s="10" t="s">
        <v>6</v>
      </c>
      <c r="C26" s="1">
        <v>46</v>
      </c>
      <c r="D26" s="1">
        <v>46</v>
      </c>
      <c r="E26" s="2">
        <f t="shared" si="6"/>
        <v>1</v>
      </c>
      <c r="F26" s="32"/>
      <c r="G26" s="13">
        <f t="shared" ref="G26:G28" si="7">C26/$F$25</f>
        <v>1.5333333333333334</v>
      </c>
    </row>
    <row r="27" spans="1:7" x14ac:dyDescent="0.3">
      <c r="A27" s="29"/>
      <c r="B27" s="10" t="s">
        <v>7</v>
      </c>
      <c r="C27" s="1">
        <v>53</v>
      </c>
      <c r="D27" s="1">
        <v>53</v>
      </c>
      <c r="E27" s="2">
        <f t="shared" si="6"/>
        <v>1</v>
      </c>
      <c r="F27" s="32"/>
      <c r="G27" s="13">
        <f t="shared" si="7"/>
        <v>1.7666666666666666</v>
      </c>
    </row>
    <row r="28" spans="1:7" ht="15" thickBot="1" x14ac:dyDescent="0.35">
      <c r="A28" s="30"/>
      <c r="B28" s="11" t="s">
        <v>8</v>
      </c>
      <c r="C28" s="5">
        <f>AVERAGE(C25:C27)</f>
        <v>51.666666666666664</v>
      </c>
      <c r="D28" s="5">
        <f>AVERAGE(D25:D27)</f>
        <v>51.666666666666664</v>
      </c>
      <c r="E28" s="6">
        <f t="shared" si="6"/>
        <v>1</v>
      </c>
      <c r="F28" s="33"/>
      <c r="G28" s="13">
        <f t="shared" si="7"/>
        <v>1.7222222222222221</v>
      </c>
    </row>
    <row r="29" spans="1:7" x14ac:dyDescent="0.3">
      <c r="A29" s="28" t="s">
        <v>0</v>
      </c>
      <c r="B29" s="12" t="s">
        <v>5</v>
      </c>
      <c r="C29" s="3">
        <v>80</v>
      </c>
      <c r="D29" s="3">
        <v>56</v>
      </c>
      <c r="E29" s="4">
        <f t="shared" si="6"/>
        <v>0.7</v>
      </c>
      <c r="F29" s="31">
        <v>115</v>
      </c>
      <c r="G29" s="13">
        <f>C29/$F$29</f>
        <v>0.69565217391304346</v>
      </c>
    </row>
    <row r="30" spans="1:7" x14ac:dyDescent="0.3">
      <c r="A30" s="29"/>
      <c r="B30" s="10" t="s">
        <v>6</v>
      </c>
      <c r="C30" s="1">
        <v>73</v>
      </c>
      <c r="D30" s="1">
        <v>46</v>
      </c>
      <c r="E30" s="2">
        <f t="shared" si="6"/>
        <v>0.63013698630136983</v>
      </c>
      <c r="F30" s="32"/>
      <c r="G30" s="13">
        <f t="shared" ref="G30:G32" si="8">C30/$F$29</f>
        <v>0.63478260869565217</v>
      </c>
    </row>
    <row r="31" spans="1:7" x14ac:dyDescent="0.3">
      <c r="A31" s="29"/>
      <c r="B31" s="10" t="s">
        <v>7</v>
      </c>
      <c r="C31" s="1">
        <v>77</v>
      </c>
      <c r="D31" s="1">
        <v>53</v>
      </c>
      <c r="E31" s="2">
        <f t="shared" si="6"/>
        <v>0.68831168831168832</v>
      </c>
      <c r="F31" s="32"/>
      <c r="G31" s="13">
        <f t="shared" si="8"/>
        <v>0.66956521739130437</v>
      </c>
    </row>
    <row r="32" spans="1:7" ht="15" thickBot="1" x14ac:dyDescent="0.35">
      <c r="A32" s="30"/>
      <c r="B32" s="11" t="s">
        <v>8</v>
      </c>
      <c r="C32" s="5">
        <f>AVERAGE(C29:C31)</f>
        <v>76.666666666666671</v>
      </c>
      <c r="D32" s="5">
        <f>AVERAGE(D29:D31)</f>
        <v>51.666666666666664</v>
      </c>
      <c r="E32" s="6">
        <f t="shared" si="6"/>
        <v>0.67391304347826075</v>
      </c>
      <c r="F32" s="33"/>
      <c r="G32" s="13">
        <f t="shared" si="8"/>
        <v>0.66666666666666674</v>
      </c>
    </row>
  </sheetData>
  <mergeCells count="17">
    <mergeCell ref="A29:A32"/>
    <mergeCell ref="F29:F32"/>
    <mergeCell ref="A12:G12"/>
    <mergeCell ref="A14:A17"/>
    <mergeCell ref="F14:F17"/>
    <mergeCell ref="A18:A21"/>
    <mergeCell ref="F18:F21"/>
    <mergeCell ref="J1:M1"/>
    <mergeCell ref="J5:M5"/>
    <mergeCell ref="A23:G23"/>
    <mergeCell ref="A25:A28"/>
    <mergeCell ref="F25:F28"/>
    <mergeCell ref="A3:A6"/>
    <mergeCell ref="A7:A10"/>
    <mergeCell ref="A1:G1"/>
    <mergeCell ref="F7:F10"/>
    <mergeCell ref="F3:F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FE438-4CAD-4A41-83DC-D8A737CFF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Stotzer</dc:creator>
  <cp:lastModifiedBy>Mark P. Stotzer</cp:lastModifiedBy>
  <dcterms:created xsi:type="dcterms:W3CDTF">2015-06-05T18:17:20Z</dcterms:created>
  <dcterms:modified xsi:type="dcterms:W3CDTF">2026-03-30T23:17:12Z</dcterms:modified>
</cp:coreProperties>
</file>